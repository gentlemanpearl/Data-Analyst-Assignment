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 Day?</t>
        </is>
      </c>
      <c r="G1" t="inlineStr">
        <is>
          <t>Same Hour?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DATEVALUE(LEFT(B2, 10)) = DATEVALUE(LEFT(C2, 10))</f>
        <v/>
      </c>
      <c r="G2">
        <f>AND(F2, MID(B2, 12, 2) = MID(C2, 12, 2))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xyu-abcd-34</t>
        </is>
      </c>
      <c r="F3">
        <f>DATEVALUE(LEFT(B3, 10)) = DATEVALUE(LEFT(C3, 10))</f>
        <v/>
      </c>
      <c r="G3">
        <f>AND(F3, MID(B3, 12, 2) = MID(C3, 12, 2))</f>
        <v/>
      </c>
    </row>
    <row r="4">
      <c r="A4" t="inlineStr">
        <is>
          <t>abc-def-123</t>
        </is>
      </c>
      <c r="B4" t="inlineStr">
        <is>
          <t>2021-08-22 14:00:00</t>
        </is>
      </c>
      <c r="C4" t="inlineStr">
        <is>
          <t>2021-08-22 14:45:10</t>
        </is>
      </c>
      <c r="D4" t="inlineStr">
        <is>
          <t>wrqy-juv-978</t>
        </is>
      </c>
      <c r="E4" t="inlineStr">
        <is>
          <t>qwe-asdf-56</t>
        </is>
      </c>
      <c r="F4">
        <f>DATEVALUE(LEFT(B4, 10)) = DATEVALUE(LEFT(C4, 10))</f>
        <v/>
      </c>
      <c r="G4">
        <f>AND(F4, MID(B4, 12, 2) = MID(C4, 12, 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INDEX(ticket!B:B, MATCH(A2, ticket!E:E, 0))</f>
        <v/>
      </c>
    </row>
    <row r="3">
      <c r="A3" t="inlineStr">
        <is>
          <t>xyu-abcd-34</t>
        </is>
      </c>
      <c r="B3" t="inlineStr">
        <is>
          <t>2021-08-21 18:00:00</t>
        </is>
      </c>
      <c r="C3" t="n">
        <v>5</v>
      </c>
      <c r="D3">
        <f>INDEX(ticket!B:B, MATCH(A3, ticket!E:E, 0))</f>
        <v/>
      </c>
    </row>
    <row r="4">
      <c r="A4" t="inlineStr">
        <is>
          <t>qwe-asdf-56</t>
        </is>
      </c>
      <c r="B4" t="inlineStr">
        <is>
          <t>2021-08-22 15:00:00</t>
        </is>
      </c>
      <c r="C4" t="n">
        <v>4</v>
      </c>
      <c r="D4">
        <f>INDEX(ticket!B:B, MATCH(A4, ticket!E:E, 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</t>
        </is>
      </c>
      <c r="B1" t="inlineStr">
        <is>
          <t>Tickets Closed Same Day</t>
        </is>
      </c>
      <c r="C1" t="inlineStr">
        <is>
          <t>Tickets Closed Same Hour</t>
        </is>
      </c>
    </row>
    <row r="2">
      <c r="A2" t="inlineStr">
        <is>
          <t>wrqy-juv-978</t>
        </is>
      </c>
      <c r="B2">
        <f>COUNTIFS(ticket!D:D, A2, ticket!F:F, TRUE)</f>
        <v/>
      </c>
      <c r="C2">
        <f>COUNTIFS(ticket!D:D, A2, ticket!G:G, TRUE)</f>
        <v/>
      </c>
    </row>
    <row r="3">
      <c r="A3" t="inlineStr">
        <is>
          <t>8woh-k3u-23b</t>
        </is>
      </c>
      <c r="B3">
        <f>COUNTIFS(ticket!D:D, A3, ticket!F:F, TRUE)</f>
        <v/>
      </c>
      <c r="C3">
        <f>COUNTIFS(ticket!D:D, A3, ticket!G:G, 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2026-04-09T06:12:02Z</dcterms:created>
  <dcterms:modified xsi:type="dcterms:W3CDTF">2026-04-09T06:12:02Z</dcterms:modified>
</cp:coreProperties>
</file>